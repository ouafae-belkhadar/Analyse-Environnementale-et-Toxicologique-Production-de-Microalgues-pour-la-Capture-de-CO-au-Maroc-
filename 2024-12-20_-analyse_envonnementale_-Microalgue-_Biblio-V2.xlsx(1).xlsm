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brka\OneDrive\Desktop\New folder\"/>
    </mc:Choice>
  </mc:AlternateContent>
  <xr:revisionPtr revIDLastSave="0" documentId="8_{16708AB5-32D8-42F0-83DD-E8F6F9F6EDA4}" xr6:coauthVersionLast="47" xr6:coauthVersionMax="47" xr10:uidLastSave="{00000000-0000-0000-0000-000000000000}"/>
  <bookViews>
    <workbookView xWindow="-120" yWindow="-120" windowWidth="29040" windowHeight="15720" activeTab="3" xr2:uid="{CA1AB171-3E94-4A0F-A7AB-256C2553471F}"/>
  </bookViews>
  <sheets>
    <sheet name="Etape de lelvage " sheetId="5" r:id="rId1"/>
    <sheet name="Aspect envir" sheetId="6" r:id="rId2"/>
    <sheet name="COTATION" sheetId="7" r:id="rId3"/>
    <sheet name="Analyse " sheetId="1" r:id="rId4"/>
    <sheet name="Resultat" sheetId="4" r:id="rId5"/>
    <sheet name="Feuil3" sheetId="3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3" i="1"/>
</calcChain>
</file>

<file path=xl/sharedStrings.xml><?xml version="1.0" encoding="utf-8"?>
<sst xmlns="http://schemas.openxmlformats.org/spreadsheetml/2006/main" count="141" uniqueCount="117">
  <si>
    <t>Process/Activité</t>
  </si>
  <si>
    <t>Impact Environnemental</t>
  </si>
  <si>
    <t>Aspect Environnemental</t>
  </si>
  <si>
    <t xml:space="preserve">Mode </t>
  </si>
  <si>
    <t>T</t>
  </si>
  <si>
    <t xml:space="preserve">Signification </t>
  </si>
  <si>
    <t xml:space="preserve">Utilisation de nutriments </t>
  </si>
  <si>
    <t>Utilisation de CO₂ présents dans l’eau</t>
  </si>
  <si>
    <t>Récolte et filtration des algues</t>
  </si>
  <si>
    <t>Rejet de l’eau dans l’océan</t>
  </si>
  <si>
    <t>Séchage des algues</t>
  </si>
  <si>
    <t>Enfouissement des algues sous le sable</t>
  </si>
  <si>
    <t xml:space="preserve">Pompage de l’eau de mer </t>
  </si>
  <si>
    <t>Culture des alguesutilise utilisation  des souches de microalgues marines indigènes,</t>
  </si>
  <si>
    <t>Déacidification de l'eau de mer : Le processus retire également l'acidité de l'eau de mer utilisée, contribuant à restaurer l'équilibre chimique des océans et à améliorer la santé des écosystèmes marins.</t>
  </si>
  <si>
    <t>Aspects environnementaux</t>
  </si>
  <si>
    <t>Émissions dans l'air</t>
  </si>
  <si>
    <t xml:space="preserve"> Rejets dans l’eau</t>
  </si>
  <si>
    <t>Rejets dans le sol</t>
  </si>
  <si>
    <t>Production et gestion des déchets</t>
  </si>
  <si>
    <t xml:space="preserve"> Consommation de ressources</t>
  </si>
  <si>
    <t xml:space="preserve"> Utilisation du sol et biodiversité</t>
  </si>
  <si>
    <t>Risques environnementaux accidentels . Incendies Explosions
Fuites ou déversements accidentels
Impact en cas de sinistre</t>
  </si>
  <si>
    <t>Normal</t>
  </si>
  <si>
    <t>Anormal</t>
  </si>
  <si>
    <t>Consommation de ressources</t>
  </si>
  <si>
    <t>Consommation de ressources En energie pumpe</t>
  </si>
  <si>
    <t xml:space="preserve"> Utilisation du sol </t>
  </si>
  <si>
    <t>Rejets dans l’eau</t>
  </si>
  <si>
    <t>Odeurs</t>
  </si>
  <si>
    <t>Epuissement  d’énergies electricite</t>
  </si>
  <si>
    <t>aspect environnemental  significatif</t>
  </si>
  <si>
    <t xml:space="preserve">si le totale est plus de  64
</t>
  </si>
  <si>
    <t>aspect environnemental non significatif</t>
  </si>
  <si>
    <t xml:space="preserve">SI le totale est moins de 64
</t>
  </si>
  <si>
    <t xml:space="preserve">Totale de cotation </t>
  </si>
  <si>
    <t>fort</t>
  </si>
  <si>
    <t>moyenne</t>
  </si>
  <si>
    <t>faibe</t>
  </si>
  <si>
    <t>sensibilité
(S)</t>
  </si>
  <si>
    <t>MODE NORMALE</t>
  </si>
  <si>
    <t>COTATION</t>
  </si>
  <si>
    <t>MOYENS DE FORMATION ET SENSIBILITE</t>
  </si>
  <si>
    <t>Tout le bâtiment</t>
  </si>
  <si>
    <t>Polluant (Fuel lourd, gasoil,essence…)</t>
  </si>
  <si>
    <t>Toxique / mortel / CMR avéré (H340, H341, H350, H351, H360, H361, H370 et H372) Dangereux pour l'environnement (H400 à H412)</t>
  </si>
  <si>
    <t>Parfaitement Audible (pas d'atténuation par rapport à la source)</t>
  </si>
  <si>
    <t xml:space="preserve">Infectieux ou bactériologiques Fumées de combustions très polluantes (fioul, diesel, gasoil) Fumée de combustion anormales de gaz inflammable (CO ou CO2 </t>
  </si>
  <si>
    <t>Déchets Dangereux sans valorisation matière</t>
  </si>
  <si>
    <t>1 atelier</t>
  </si>
  <si>
    <t>Electricité nucléaire, biogaz, biocarburants</t>
  </si>
  <si>
    <t>Irritant / Nocif / Corrosif</t>
  </si>
  <si>
    <t>Moyennement audible (atténuation par rapport à la source)</t>
  </si>
  <si>
    <t>Fumées de combustion normales de gaz inflammable (gaz de ville, propane, GPL)</t>
  </si>
  <si>
    <t xml:space="preserve">Déchets industriels banals </t>
  </si>
  <si>
    <t>1 local</t>
  </si>
  <si>
    <t>Renouvelable ou récupérée</t>
  </si>
  <si>
    <t>Pas de toxicité ou de danger connus Pas d'impact sur l'environnement</t>
  </si>
  <si>
    <t>Inaudible</t>
  </si>
  <si>
    <t>Pas de toxicité, de dangers, connus (vapeur d'eau)</t>
  </si>
  <si>
    <t>Déchets Recyclables (avec valorisation matière)</t>
  </si>
  <si>
    <t>Risque d'incendie</t>
  </si>
  <si>
    <t xml:space="preserve">consomation d'énérgie </t>
  </si>
  <si>
    <t xml:space="preserve">CONSOMMATION DES RESSOURCES </t>
  </si>
  <si>
    <t>FUITES / DEVERSEMENTS</t>
  </si>
  <si>
    <t>BRUITS</t>
  </si>
  <si>
    <t>EMISSION ATMOSPHERIQUE</t>
  </si>
  <si>
    <t xml:space="preserve">L: Rejet d'un effluent liquide </t>
  </si>
  <si>
    <t>DECHETS</t>
  </si>
  <si>
    <t>Effet négatif que cet aspect 
peut avoir sur les limites légales ou les références applicables</t>
  </si>
  <si>
    <t>GRAVITE
( G )</t>
  </si>
  <si>
    <t>La gravité de l'impact environnemental est évaluée selon les thématiques « Environnement »</t>
  </si>
  <si>
    <t xml:space="preserve"> Gravité ( G )</t>
  </si>
  <si>
    <t xml:space="preserve">Évènement très probable : S’est déjà produit sur le site plusieurs fois </t>
  </si>
  <si>
    <t>Habituel
(Quotidien)</t>
  </si>
  <si>
    <t>Évènement peu probable : rarement produit sur le site.</t>
  </si>
  <si>
    <t>Fréquent
(Hebdomadaire ou mensuel)</t>
  </si>
  <si>
    <t>Évènement improbable ou inattendu: Ne s’est jamais produit.</t>
  </si>
  <si>
    <t>Rare 
(Une fois par an ou moins)</t>
  </si>
  <si>
    <t>Combien de fois est-il possible
 qu'un impact se produise?</t>
  </si>
  <si>
    <t>FREQUENCE 
(F)</t>
  </si>
  <si>
    <t>MODE ANORMALE</t>
  </si>
  <si>
    <t xml:space="preserve"> Fréquence  ( F )</t>
  </si>
  <si>
    <t>RI : Risque de départ d'incendie/Explosion entraînant une pollution atmosphérique et une pollution sol et/ou de l’eau</t>
  </si>
  <si>
    <t>RG : Risque de fuite de Gaz</t>
  </si>
  <si>
    <t>RD : Risque de répandre un produit sur le sol entraînant une pollution du sol et/ou de l’eau</t>
  </si>
  <si>
    <t>MODE ACCIDENTEL</t>
  </si>
  <si>
    <t>L: Rejet d'un effluent liquide (dans le milieu naturel ou dans un réseau communal)</t>
  </si>
  <si>
    <t>D : Production de déchets (solides ou liquides)</t>
  </si>
  <si>
    <t>E : Consommation d'énergie</t>
  </si>
  <si>
    <t>B : Emission de Bruit</t>
  </si>
  <si>
    <t>A : Rejets atmosphériques</t>
  </si>
  <si>
    <t>MODE NORMAL</t>
  </si>
  <si>
    <t>F</t>
  </si>
  <si>
    <t>G</t>
  </si>
  <si>
    <t>S</t>
  </si>
  <si>
    <t>C : Consommation de ressources   sol et biodiversité</t>
  </si>
  <si>
    <t>une pollution atmosphérique</t>
  </si>
  <si>
    <t xml:space="preserve">Epuissement  des eaux de mer </t>
  </si>
  <si>
    <t>Risque de départ d'incendie pump</t>
  </si>
  <si>
    <t xml:space="preserve">Pumpage de l’eau de mer </t>
  </si>
  <si>
    <t>AN</t>
  </si>
  <si>
    <t>N</t>
  </si>
  <si>
    <t>Production de déchets</t>
  </si>
  <si>
    <t xml:space="preserve">Gaspiller les races locales
</t>
  </si>
  <si>
    <t>Modification des paysages désertiques</t>
  </si>
  <si>
    <t>Risques de perturbation d’habitats terrestres locaux (faune/flore désertique)</t>
  </si>
  <si>
    <t>Risque d’introduction non contrôlée d’algues dans l’environnement (si fuite des bassins)</t>
  </si>
  <si>
    <t>Production de déchets salins si mal gérés.</t>
  </si>
  <si>
    <t>Occupation des sols</t>
  </si>
  <si>
    <t>Culture des algues</t>
  </si>
  <si>
    <t>Récolte / séchage</t>
  </si>
  <si>
    <t>Retour de l’eau filtrée à la mer</t>
  </si>
  <si>
    <t>Enfouissement</t>
  </si>
  <si>
    <t>risque de modification locale du sol (sel, matière organique)</t>
  </si>
  <si>
    <t>REjets liquide</t>
  </si>
  <si>
    <t xml:space="preserve"> risque de modification locale de salinité.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</si>
</sst>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name val="ＭＳ Ｐゴシック"/>
      <family val="3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94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  <xf numFmtId="0" fontId="1" fillId="0" borderId="0" xfId="0" applyFont="1"/>
    <xf numFmtId="0" fontId="4" fillId="0" borderId="1" xfId="1" applyFont="1" applyBorder="1" applyAlignment="1">
      <alignment horizontal="left" vertical="center" wrapText="1"/>
    </xf>
    <xf numFmtId="0" fontId="5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/>
    </xf>
    <xf numFmtId="0" fontId="8" fillId="0" borderId="1" xfId="1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left"/>
    </xf>
    <xf numFmtId="0" fontId="4" fillId="0" borderId="16" xfId="1" applyFont="1" applyBorder="1" applyAlignment="1">
      <alignment horizontal="left" vertical="center" wrapText="1"/>
    </xf>
    <xf numFmtId="0" fontId="4" fillId="0" borderId="16" xfId="1" applyFont="1" applyBorder="1" applyAlignment="1">
      <alignment vertical="center" wrapText="1"/>
    </xf>
    <xf numFmtId="0" fontId="6" fillId="0" borderId="20" xfId="0" applyFont="1" applyBorder="1" applyAlignment="1">
      <alignment horizontal="center" vertical="center" wrapText="1"/>
    </xf>
    <xf numFmtId="0" fontId="0" fillId="0" borderId="0" xfId="0" applyAlignment="1">
      <alignment vertical="top" wrapText="1"/>
    </xf>
    <xf numFmtId="0" fontId="6" fillId="0" borderId="22" xfId="0" applyFont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12" fillId="0" borderId="0" xfId="1" applyFont="1"/>
    <xf numFmtId="0" fontId="1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2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8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6" fillId="5" borderId="17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3" fillId="5" borderId="10" xfId="0" applyFont="1" applyFill="1" applyBorder="1" applyAlignment="1">
      <alignment horizontal="center"/>
    </xf>
    <xf numFmtId="0" fontId="13" fillId="5" borderId="24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11" borderId="16" xfId="0" applyFont="1" applyFill="1" applyBorder="1" applyAlignment="1">
      <alignment horizontal="center" wrapText="1"/>
    </xf>
    <xf numFmtId="0" fontId="1" fillId="11" borderId="15" xfId="0" applyFont="1" applyFill="1" applyBorder="1" applyAlignment="1">
      <alignment horizont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</cellXfs>
  <cellStyles count="2">
    <cellStyle name="Normal" xfId="0" builtinId="0"/>
    <cellStyle name="Normal 2 2" xfId="1" xr:uid="{4C9C80F0-3FE6-48D6-B35E-96C74409615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390525</xdr:colOff>
      <xdr:row>1</xdr:row>
      <xdr:rowOff>57150</xdr:rowOff>
    </xdr:from>
    <xdr:ext cx="5449667" cy="2955925"/>
    <xdr:pic>
      <xdr:nvPicPr>
        <xdr:cNvPr id="2" name="Image 1">
          <a:extLst>
            <a:ext uri="{FF2B5EF4-FFF2-40B4-BE49-F238E27FC236}">
              <a16:creationId xmlns:a16="http://schemas.microsoft.com/office/drawing/2014/main" id="{D183DA71-AA5D-4C0D-88AF-9A36EF631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62525" y="241300"/>
          <a:ext cx="5449667" cy="295592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2308B-4750-4BF5-B807-A97B06552905}">
  <dimension ref="B3:F12"/>
  <sheetViews>
    <sheetView workbookViewId="0">
      <selection activeCell="B10" sqref="B10:F10"/>
    </sheetView>
  </sheetViews>
  <sheetFormatPr defaultColWidth="11.42578125" defaultRowHeight="15"/>
  <cols>
    <col min="6" max="6" width="14.7109375" customWidth="1"/>
  </cols>
  <sheetData>
    <row r="3" spans="2:6" ht="15.75">
      <c r="B3" s="44" t="s">
        <v>1</v>
      </c>
      <c r="C3" s="44"/>
      <c r="D3" s="44"/>
      <c r="E3" s="44"/>
      <c r="F3" s="44"/>
    </row>
    <row r="4" spans="2:6" ht="28.5" customHeight="1">
      <c r="B4" s="42" t="s">
        <v>12</v>
      </c>
      <c r="C4" s="42"/>
      <c r="D4" s="42"/>
      <c r="E4" s="42"/>
      <c r="F4" s="42"/>
    </row>
    <row r="5" spans="2:6" ht="28.5" hidden="1" customHeight="1">
      <c r="B5" s="42" t="s">
        <v>6</v>
      </c>
      <c r="C5" s="42"/>
      <c r="D5" s="42"/>
      <c r="E5" s="42"/>
      <c r="F5" s="42"/>
    </row>
    <row r="6" spans="2:6" ht="28.5" hidden="1" customHeight="1">
      <c r="B6" s="42" t="s">
        <v>7</v>
      </c>
      <c r="C6" s="42"/>
      <c r="D6" s="42"/>
      <c r="E6" s="42"/>
      <c r="F6" s="42"/>
    </row>
    <row r="7" spans="2:6" ht="28.5" customHeight="1">
      <c r="B7" s="43" t="s">
        <v>13</v>
      </c>
      <c r="C7" s="43"/>
      <c r="D7" s="43"/>
      <c r="E7" s="43"/>
      <c r="F7" s="43"/>
    </row>
    <row r="8" spans="2:6" ht="28.5" customHeight="1">
      <c r="B8" s="42" t="s">
        <v>8</v>
      </c>
      <c r="C8" s="42"/>
      <c r="D8" s="42"/>
      <c r="E8" s="42"/>
      <c r="F8" s="42"/>
    </row>
    <row r="9" spans="2:6" ht="28.5" customHeight="1">
      <c r="B9" s="42" t="s">
        <v>9</v>
      </c>
      <c r="C9" s="42"/>
      <c r="D9" s="42"/>
      <c r="E9" s="42"/>
      <c r="F9" s="42"/>
    </row>
    <row r="10" spans="2:6" ht="28.5" customHeight="1">
      <c r="B10" s="42" t="s">
        <v>10</v>
      </c>
      <c r="C10" s="42"/>
      <c r="D10" s="42"/>
      <c r="E10" s="42"/>
      <c r="F10" s="42"/>
    </row>
    <row r="11" spans="2:6" ht="28.5" customHeight="1">
      <c r="B11" s="42" t="s">
        <v>11</v>
      </c>
      <c r="C11" s="42"/>
      <c r="D11" s="42"/>
      <c r="E11" s="42"/>
      <c r="F11" s="42"/>
    </row>
    <row r="12" spans="2:6" ht="55.5" customHeight="1">
      <c r="B12" s="43" t="s">
        <v>14</v>
      </c>
      <c r="C12" s="43"/>
      <c r="D12" s="43"/>
      <c r="E12" s="43"/>
      <c r="F12" s="43"/>
    </row>
  </sheetData>
  <mergeCells count="10">
    <mergeCell ref="B9:F9"/>
    <mergeCell ref="B10:F10"/>
    <mergeCell ref="B11:F11"/>
    <mergeCell ref="B12:F12"/>
    <mergeCell ref="B3:F3"/>
    <mergeCell ref="B4:F4"/>
    <mergeCell ref="B5:F5"/>
    <mergeCell ref="B6:F6"/>
    <mergeCell ref="B7:F7"/>
    <mergeCell ref="B8:F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00F03-17D7-446F-AD5A-2A3CAB2FA62E}">
  <dimension ref="A3:D11"/>
  <sheetViews>
    <sheetView workbookViewId="0">
      <selection activeCell="B9" sqref="B9:D9"/>
    </sheetView>
  </sheetViews>
  <sheetFormatPr defaultColWidth="11.42578125" defaultRowHeight="15"/>
  <cols>
    <col min="4" max="4" width="14.85546875" customWidth="1"/>
  </cols>
  <sheetData>
    <row r="3" spans="1:4" ht="15.75">
      <c r="B3" s="48" t="s">
        <v>15</v>
      </c>
      <c r="C3" s="48"/>
      <c r="D3" s="48"/>
    </row>
    <row r="4" spans="1:4">
      <c r="A4" s="47" t="s">
        <v>23</v>
      </c>
      <c r="B4" s="45" t="s">
        <v>16</v>
      </c>
      <c r="C4" s="45"/>
      <c r="D4" s="45"/>
    </row>
    <row r="5" spans="1:4">
      <c r="A5" s="47"/>
      <c r="B5" s="45" t="s">
        <v>17</v>
      </c>
      <c r="C5" s="45"/>
      <c r="D5" s="45"/>
    </row>
    <row r="6" spans="1:4">
      <c r="A6" s="47"/>
      <c r="B6" s="45" t="s">
        <v>18</v>
      </c>
      <c r="C6" s="45"/>
      <c r="D6" s="45"/>
    </row>
    <row r="7" spans="1:4">
      <c r="A7" s="47"/>
      <c r="B7" s="45" t="s">
        <v>19</v>
      </c>
      <c r="C7" s="45"/>
      <c r="D7" s="45"/>
    </row>
    <row r="8" spans="1:4">
      <c r="A8" s="47"/>
      <c r="B8" s="45" t="s">
        <v>20</v>
      </c>
      <c r="C8" s="45"/>
      <c r="D8" s="45"/>
    </row>
    <row r="9" spans="1:4">
      <c r="A9" s="47"/>
      <c r="B9" s="45" t="s">
        <v>21</v>
      </c>
      <c r="C9" s="45"/>
      <c r="D9" s="45"/>
    </row>
    <row r="10" spans="1:4">
      <c r="A10" s="47" t="s">
        <v>24</v>
      </c>
      <c r="B10" s="46" t="s">
        <v>22</v>
      </c>
      <c r="C10" s="45"/>
      <c r="D10" s="45"/>
    </row>
    <row r="11" spans="1:4" ht="24.95" customHeight="1">
      <c r="A11" s="47"/>
      <c r="B11" s="45"/>
      <c r="C11" s="45"/>
      <c r="D11" s="45"/>
    </row>
  </sheetData>
  <mergeCells count="10">
    <mergeCell ref="B9:D9"/>
    <mergeCell ref="B10:D11"/>
    <mergeCell ref="A4:A9"/>
    <mergeCell ref="A10:A11"/>
    <mergeCell ref="B3:D3"/>
    <mergeCell ref="B4:D4"/>
    <mergeCell ref="B5:D5"/>
    <mergeCell ref="B6:D6"/>
    <mergeCell ref="B7:D7"/>
    <mergeCell ref="B8:D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B3F42-D9C5-4A55-A104-6F899F528874}">
  <dimension ref="B2:M46"/>
  <sheetViews>
    <sheetView topLeftCell="E22" workbookViewId="0">
      <selection activeCell="C34" sqref="C34"/>
    </sheetView>
  </sheetViews>
  <sheetFormatPr defaultColWidth="11.42578125" defaultRowHeight="15"/>
  <cols>
    <col min="1" max="1" width="8.28515625" customWidth="1"/>
    <col min="2" max="2" width="28.7109375" customWidth="1"/>
    <col min="3" max="3" width="17.85546875" customWidth="1"/>
    <col min="4" max="4" width="20.7109375" customWidth="1"/>
    <col min="5" max="5" width="48.28515625" customWidth="1"/>
    <col min="6" max="6" width="29.85546875" customWidth="1"/>
    <col min="7" max="7" width="26.85546875" customWidth="1"/>
    <col min="8" max="8" width="23.42578125" customWidth="1"/>
    <col min="9" max="9" width="26.5703125" customWidth="1"/>
    <col min="10" max="10" width="23.140625" customWidth="1"/>
    <col min="11" max="11" width="24.7109375" customWidth="1"/>
  </cols>
  <sheetData>
    <row r="2" spans="2:6" ht="15.75" thickBot="1"/>
    <row r="3" spans="2:6" ht="24" thickBot="1">
      <c r="B3" s="83" t="s">
        <v>15</v>
      </c>
      <c r="C3" s="84"/>
      <c r="D3" s="84"/>
      <c r="E3" s="84"/>
      <c r="F3" s="84"/>
    </row>
    <row r="4" spans="2:6" ht="16.5" customHeight="1">
      <c r="B4" s="77" t="s">
        <v>92</v>
      </c>
      <c r="C4" s="78"/>
      <c r="D4" s="78"/>
      <c r="E4" s="85" t="s">
        <v>91</v>
      </c>
      <c r="F4" s="85"/>
    </row>
    <row r="5" spans="2:6" ht="15.75">
      <c r="B5" s="79"/>
      <c r="C5" s="80"/>
      <c r="D5" s="80"/>
      <c r="E5" s="86" t="s">
        <v>90</v>
      </c>
      <c r="F5" s="86"/>
    </row>
    <row r="6" spans="2:6" ht="15.75">
      <c r="B6" s="79"/>
      <c r="C6" s="80"/>
      <c r="D6" s="80"/>
      <c r="E6" s="87" t="s">
        <v>89</v>
      </c>
      <c r="F6" s="87"/>
    </row>
    <row r="7" spans="2:6" ht="15.75">
      <c r="B7" s="79"/>
      <c r="C7" s="80"/>
      <c r="D7" s="80"/>
      <c r="E7" s="44" t="s">
        <v>88</v>
      </c>
      <c r="F7" s="44"/>
    </row>
    <row r="8" spans="2:6" ht="15.75">
      <c r="B8" s="79"/>
      <c r="C8" s="80"/>
      <c r="D8" s="80"/>
      <c r="E8" s="88" t="s">
        <v>96</v>
      </c>
      <c r="F8" s="88"/>
    </row>
    <row r="9" spans="2:6" ht="16.5" thickBot="1">
      <c r="B9" s="81"/>
      <c r="C9" s="82"/>
      <c r="D9" s="82"/>
      <c r="E9" s="89" t="s">
        <v>87</v>
      </c>
      <c r="F9" s="90"/>
    </row>
    <row r="10" spans="2:6" ht="33" customHeight="1">
      <c r="B10" s="77" t="s">
        <v>86</v>
      </c>
      <c r="C10" s="78"/>
      <c r="D10" s="78"/>
      <c r="E10" s="91" t="s">
        <v>85</v>
      </c>
      <c r="F10" s="91"/>
    </row>
    <row r="11" spans="2:6" ht="15.75" customHeight="1">
      <c r="B11" s="79"/>
      <c r="C11" s="80"/>
      <c r="D11" s="80"/>
      <c r="E11" s="92" t="s">
        <v>84</v>
      </c>
      <c r="F11" s="92"/>
    </row>
    <row r="12" spans="2:6" ht="32.25" customHeight="1" thickBot="1">
      <c r="B12" s="81"/>
      <c r="C12" s="82"/>
      <c r="D12" s="82"/>
      <c r="E12" s="92" t="s">
        <v>83</v>
      </c>
      <c r="F12" s="92"/>
    </row>
    <row r="13" spans="2:6" ht="15.75" thickBot="1"/>
    <row r="14" spans="2:6" ht="16.5" thickBot="1">
      <c r="B14" s="64" t="s">
        <v>82</v>
      </c>
      <c r="C14" s="65"/>
      <c r="D14" s="65"/>
      <c r="E14" s="65"/>
      <c r="F14" s="66"/>
    </row>
    <row r="15" spans="2:6" ht="15.75" thickBot="1"/>
    <row r="16" spans="2:6" ht="15.75" customHeight="1" thickBot="1">
      <c r="C16" s="35"/>
      <c r="D16" s="34" t="s">
        <v>41</v>
      </c>
      <c r="E16" s="34" t="s">
        <v>40</v>
      </c>
      <c r="F16" s="34" t="s">
        <v>81</v>
      </c>
    </row>
    <row r="17" spans="2:13" ht="42" customHeight="1">
      <c r="B17" s="74" t="s">
        <v>80</v>
      </c>
      <c r="C17" s="74" t="s">
        <v>79</v>
      </c>
      <c r="D17" s="33">
        <v>1</v>
      </c>
      <c r="E17" s="32" t="s">
        <v>78</v>
      </c>
      <c r="F17" s="7" t="s">
        <v>77</v>
      </c>
    </row>
    <row r="18" spans="2:13" ht="28.5" customHeight="1" thickBot="1">
      <c r="B18" s="75"/>
      <c r="C18" s="75"/>
      <c r="D18" s="31">
        <v>4</v>
      </c>
      <c r="E18" s="30" t="s">
        <v>76</v>
      </c>
      <c r="F18" s="7" t="s">
        <v>75</v>
      </c>
    </row>
    <row r="19" spans="2:13" ht="39" customHeight="1" thickBot="1">
      <c r="B19" s="76"/>
      <c r="C19" s="76"/>
      <c r="D19" s="8">
        <v>8</v>
      </c>
      <c r="E19" s="29" t="s">
        <v>74</v>
      </c>
      <c r="F19" s="7" t="s">
        <v>73</v>
      </c>
    </row>
    <row r="21" spans="2:13" ht="15.75" thickBot="1"/>
    <row r="22" spans="2:13" ht="16.5" thickBot="1">
      <c r="B22" s="64" t="s">
        <v>72</v>
      </c>
      <c r="C22" s="65"/>
      <c r="D22" s="65"/>
      <c r="E22" s="65"/>
      <c r="F22" s="66"/>
    </row>
    <row r="23" spans="2:13" ht="11.25" customHeight="1" thickBot="1">
      <c r="B23" s="67" t="s">
        <v>71</v>
      </c>
      <c r="C23" s="68"/>
      <c r="D23" s="68"/>
      <c r="E23" s="68"/>
      <c r="F23" s="69"/>
    </row>
    <row r="24" spans="2:13" ht="23.25" customHeight="1" thickBot="1">
      <c r="B24" s="28"/>
      <c r="C24" s="28"/>
      <c r="D24" s="28"/>
      <c r="E24" s="28"/>
      <c r="F24" s="28"/>
    </row>
    <row r="25" spans="2:13" s="19" customFormat="1" ht="37.5" customHeight="1">
      <c r="B25" s="70" t="s">
        <v>70</v>
      </c>
      <c r="C25" s="61" t="s">
        <v>69</v>
      </c>
      <c r="D25" s="27" t="s">
        <v>41</v>
      </c>
      <c r="E25" s="26" t="s">
        <v>68</v>
      </c>
      <c r="F25" s="25" t="s">
        <v>67</v>
      </c>
      <c r="G25" s="24" t="s">
        <v>66</v>
      </c>
      <c r="H25" s="23" t="s">
        <v>65</v>
      </c>
      <c r="I25" s="22" t="s">
        <v>64</v>
      </c>
      <c r="J25" s="21" t="s">
        <v>63</v>
      </c>
      <c r="K25" s="20" t="s">
        <v>62</v>
      </c>
      <c r="L25" s="72" t="s">
        <v>61</v>
      </c>
      <c r="M25" s="73"/>
    </row>
    <row r="26" spans="2:13" ht="46.5" customHeight="1">
      <c r="B26" s="71"/>
      <c r="C26" s="62"/>
      <c r="D26" s="17">
        <v>1</v>
      </c>
      <c r="E26" s="16" t="s">
        <v>60</v>
      </c>
      <c r="F26" s="15" t="s">
        <v>57</v>
      </c>
      <c r="G26" s="14" t="s">
        <v>59</v>
      </c>
      <c r="H26" s="1" t="s">
        <v>58</v>
      </c>
      <c r="I26" s="15" t="s">
        <v>57</v>
      </c>
      <c r="J26" s="15" t="s">
        <v>57</v>
      </c>
      <c r="K26" s="18" t="s">
        <v>56</v>
      </c>
      <c r="L26" s="42" t="s">
        <v>55</v>
      </c>
      <c r="M26" s="42"/>
    </row>
    <row r="27" spans="2:13" ht="48" customHeight="1">
      <c r="B27" s="71"/>
      <c r="C27" s="62"/>
      <c r="D27" s="17">
        <v>4</v>
      </c>
      <c r="E27" s="18" t="s">
        <v>54</v>
      </c>
      <c r="F27" s="16" t="s">
        <v>51</v>
      </c>
      <c r="G27" s="4" t="s">
        <v>53</v>
      </c>
      <c r="H27" s="15" t="s">
        <v>52</v>
      </c>
      <c r="I27" s="16" t="s">
        <v>51</v>
      </c>
      <c r="J27" s="14" t="s">
        <v>51</v>
      </c>
      <c r="K27" s="14" t="s">
        <v>50</v>
      </c>
      <c r="L27" s="42" t="s">
        <v>49</v>
      </c>
      <c r="M27" s="42"/>
    </row>
    <row r="28" spans="2:13" ht="105">
      <c r="B28" s="71"/>
      <c r="C28" s="62"/>
      <c r="D28" s="17">
        <v>8</v>
      </c>
      <c r="E28" s="16" t="s">
        <v>48</v>
      </c>
      <c r="F28" s="15" t="s">
        <v>45</v>
      </c>
      <c r="G28" s="14" t="s">
        <v>47</v>
      </c>
      <c r="H28" s="14" t="s">
        <v>46</v>
      </c>
      <c r="I28" s="15" t="s">
        <v>45</v>
      </c>
      <c r="J28" s="14" t="s">
        <v>45</v>
      </c>
      <c r="K28" s="14" t="s">
        <v>44</v>
      </c>
      <c r="L28" s="42" t="s">
        <v>43</v>
      </c>
      <c r="M28" s="42"/>
    </row>
    <row r="29" spans="2:13" ht="15.75" thickBot="1"/>
    <row r="30" spans="2:13" ht="16.5" thickBot="1">
      <c r="B30" s="64" t="s">
        <v>42</v>
      </c>
      <c r="C30" s="65"/>
      <c r="D30" s="65"/>
      <c r="E30" s="65"/>
      <c r="F30" s="66"/>
    </row>
    <row r="31" spans="2:13" ht="15.75" thickBot="1"/>
    <row r="32" spans="2:13" ht="16.5" thickBot="1">
      <c r="C32" s="12" t="s">
        <v>41</v>
      </c>
      <c r="D32" s="13" t="s">
        <v>40</v>
      </c>
    </row>
    <row r="33" spans="2:5" ht="15.75">
      <c r="B33" s="61" t="s">
        <v>39</v>
      </c>
      <c r="C33" s="10">
        <v>1</v>
      </c>
      <c r="D33" s="11" t="s">
        <v>38</v>
      </c>
    </row>
    <row r="34" spans="2:5" ht="15.75">
      <c r="B34" s="62"/>
      <c r="C34" s="10">
        <v>4</v>
      </c>
      <c r="D34" s="9" t="s">
        <v>37</v>
      </c>
    </row>
    <row r="35" spans="2:5" ht="15.75" thickBot="1">
      <c r="B35" s="63"/>
      <c r="C35" s="8">
        <v>8</v>
      </c>
      <c r="D35" s="7" t="s">
        <v>36</v>
      </c>
    </row>
    <row r="37" spans="2:5" ht="24.75" customHeight="1">
      <c r="B37" s="48" t="s">
        <v>35</v>
      </c>
      <c r="C37" s="48"/>
      <c r="D37" s="48"/>
    </row>
    <row r="38" spans="2:5">
      <c r="B38" s="49" t="s">
        <v>34</v>
      </c>
      <c r="C38" s="53" t="s">
        <v>33</v>
      </c>
      <c r="D38" s="54"/>
    </row>
    <row r="39" spans="2:5" ht="23.25" customHeight="1">
      <c r="B39" s="50"/>
      <c r="C39" s="55"/>
      <c r="D39" s="56"/>
    </row>
    <row r="40" spans="2:5">
      <c r="B40" s="51" t="s">
        <v>32</v>
      </c>
      <c r="C40" s="57" t="s">
        <v>31</v>
      </c>
      <c r="D40" s="58"/>
    </row>
    <row r="41" spans="2:5" ht="12" customHeight="1">
      <c r="B41" s="52"/>
      <c r="C41" s="59"/>
      <c r="D41" s="60"/>
    </row>
    <row r="43" spans="2:5" ht="15.75" customHeight="1"/>
    <row r="46" spans="2:5" ht="15.75">
      <c r="E46" s="6"/>
    </row>
  </sheetData>
  <mergeCells count="30">
    <mergeCell ref="B17:B19"/>
    <mergeCell ref="C17:C19"/>
    <mergeCell ref="B4:D9"/>
    <mergeCell ref="B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B10:D12"/>
    <mergeCell ref="B14:F14"/>
    <mergeCell ref="L26:M26"/>
    <mergeCell ref="L27:M27"/>
    <mergeCell ref="B37:D37"/>
    <mergeCell ref="B22:F22"/>
    <mergeCell ref="B23:F23"/>
    <mergeCell ref="B25:B28"/>
    <mergeCell ref="C25:C28"/>
    <mergeCell ref="B30:F30"/>
    <mergeCell ref="L28:M28"/>
    <mergeCell ref="L25:M25"/>
    <mergeCell ref="B38:B39"/>
    <mergeCell ref="B40:B41"/>
    <mergeCell ref="C38:D39"/>
    <mergeCell ref="C40:D41"/>
    <mergeCell ref="B33:B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9CFDE-8AFD-44EE-B7A3-AC07DCA6FDF0}">
  <dimension ref="A2:I14"/>
  <sheetViews>
    <sheetView tabSelected="1" workbookViewId="0">
      <selection activeCell="H11" sqref="H11"/>
    </sheetView>
  </sheetViews>
  <sheetFormatPr defaultColWidth="11.42578125" defaultRowHeight="15"/>
  <cols>
    <col min="1" max="1" width="21.7109375" customWidth="1"/>
    <col min="2" max="2" width="30.140625" style="38" customWidth="1"/>
    <col min="3" max="3" width="39.140625" style="19" customWidth="1"/>
    <col min="4" max="4" width="8.42578125" style="39" customWidth="1"/>
    <col min="5" max="5" width="3.85546875" style="39" customWidth="1"/>
    <col min="6" max="6" width="4.5703125" style="39" customWidth="1"/>
    <col min="7" max="7" width="4.7109375" style="39" customWidth="1"/>
    <col min="8" max="8" width="4.85546875" style="39" customWidth="1"/>
    <col min="9" max="9" width="13.5703125" style="39" customWidth="1"/>
  </cols>
  <sheetData>
    <row r="2" spans="1:9" ht="15.75">
      <c r="A2" s="2" t="s">
        <v>0</v>
      </c>
      <c r="B2" s="36" t="s">
        <v>2</v>
      </c>
      <c r="C2" s="2" t="s">
        <v>1</v>
      </c>
      <c r="D2" s="2" t="s">
        <v>3</v>
      </c>
      <c r="E2" s="2" t="s">
        <v>93</v>
      </c>
      <c r="F2" s="2" t="s">
        <v>94</v>
      </c>
      <c r="G2" s="2" t="s">
        <v>95</v>
      </c>
      <c r="H2" s="2" t="s">
        <v>4</v>
      </c>
      <c r="I2" s="2" t="s">
        <v>5</v>
      </c>
    </row>
    <row r="3" spans="1:9" ht="32.450000000000003" customHeight="1">
      <c r="A3" s="93" t="s">
        <v>100</v>
      </c>
      <c r="B3" s="5" t="s">
        <v>26</v>
      </c>
      <c r="C3" s="5" t="s">
        <v>30</v>
      </c>
      <c r="D3" s="3" t="s">
        <v>102</v>
      </c>
      <c r="E3" s="3">
        <v>1</v>
      </c>
      <c r="F3" s="3">
        <v>4</v>
      </c>
      <c r="G3" s="3">
        <v>4</v>
      </c>
      <c r="H3" s="3">
        <f>E3*F3*G3</f>
        <v>16</v>
      </c>
      <c r="I3" s="3"/>
    </row>
    <row r="4" spans="1:9" ht="32.450000000000003" customHeight="1">
      <c r="A4" s="93"/>
      <c r="B4" s="37" t="s">
        <v>25</v>
      </c>
      <c r="C4" s="37" t="s">
        <v>98</v>
      </c>
      <c r="D4" s="3" t="s">
        <v>102</v>
      </c>
      <c r="E4" s="3">
        <v>1</v>
      </c>
      <c r="F4" s="3">
        <v>1</v>
      </c>
      <c r="G4" s="3"/>
      <c r="H4" s="3">
        <f t="shared" ref="H4:H13" si="0">E4*F4*G4</f>
        <v>0</v>
      </c>
      <c r="I4" s="3"/>
    </row>
    <row r="5" spans="1:9" ht="32.450000000000003" customHeight="1">
      <c r="A5" s="93"/>
      <c r="B5" s="37" t="s">
        <v>25</v>
      </c>
      <c r="C5" s="5" t="s">
        <v>104</v>
      </c>
      <c r="D5" s="3" t="s">
        <v>102</v>
      </c>
      <c r="E5" s="3">
        <v>1</v>
      </c>
      <c r="F5" s="3">
        <v>1</v>
      </c>
      <c r="G5" s="3"/>
      <c r="H5" s="3">
        <f t="shared" si="0"/>
        <v>0</v>
      </c>
      <c r="I5" s="3"/>
    </row>
    <row r="6" spans="1:9" ht="32.450000000000003" customHeight="1">
      <c r="A6" s="93"/>
      <c r="B6" s="37" t="s">
        <v>99</v>
      </c>
      <c r="C6" s="37" t="s">
        <v>97</v>
      </c>
      <c r="D6" s="3" t="s">
        <v>101</v>
      </c>
      <c r="E6" s="3">
        <v>1</v>
      </c>
      <c r="F6" s="3">
        <v>1</v>
      </c>
      <c r="G6" s="3"/>
      <c r="H6" s="3">
        <f t="shared" si="0"/>
        <v>0</v>
      </c>
      <c r="I6" s="3"/>
    </row>
    <row r="7" spans="1:9" ht="32.450000000000003" customHeight="1">
      <c r="A7" s="40" t="s">
        <v>109</v>
      </c>
      <c r="B7" s="37" t="s">
        <v>27</v>
      </c>
      <c r="C7" s="37" t="s">
        <v>105</v>
      </c>
      <c r="D7" s="3" t="s">
        <v>102</v>
      </c>
      <c r="E7" s="3">
        <v>1</v>
      </c>
      <c r="F7" s="3">
        <v>1</v>
      </c>
      <c r="G7" s="3"/>
      <c r="H7" s="3">
        <f t="shared" si="0"/>
        <v>0</v>
      </c>
      <c r="I7" s="3"/>
    </row>
    <row r="8" spans="1:9" ht="32.450000000000003" customHeight="1">
      <c r="A8" s="40" t="s">
        <v>110</v>
      </c>
      <c r="B8" s="37" t="s">
        <v>27</v>
      </c>
      <c r="C8" s="5" t="s">
        <v>106</v>
      </c>
      <c r="D8" s="3" t="s">
        <v>102</v>
      </c>
      <c r="E8" s="3">
        <v>1</v>
      </c>
      <c r="F8" s="3">
        <v>1</v>
      </c>
      <c r="G8" s="3"/>
      <c r="H8" s="3">
        <f t="shared" si="0"/>
        <v>0</v>
      </c>
      <c r="I8" s="3"/>
    </row>
    <row r="9" spans="1:9" ht="32.450000000000003" customHeight="1">
      <c r="A9" s="93" t="s">
        <v>111</v>
      </c>
      <c r="B9" s="37" t="s">
        <v>28</v>
      </c>
      <c r="C9" s="5" t="s">
        <v>107</v>
      </c>
      <c r="D9" s="3" t="s">
        <v>102</v>
      </c>
      <c r="E9" s="3">
        <v>4</v>
      </c>
      <c r="F9" s="3">
        <v>4</v>
      </c>
      <c r="G9" s="3"/>
      <c r="H9" s="3">
        <f t="shared" si="0"/>
        <v>0</v>
      </c>
      <c r="I9" s="3"/>
    </row>
    <row r="10" spans="1:9" ht="32.450000000000003" customHeight="1">
      <c r="A10" s="93"/>
      <c r="B10" s="37" t="s">
        <v>16</v>
      </c>
      <c r="C10" s="37" t="s">
        <v>29</v>
      </c>
      <c r="D10" s="3" t="s">
        <v>101</v>
      </c>
      <c r="E10" s="3">
        <v>4</v>
      </c>
      <c r="F10" s="3">
        <v>4</v>
      </c>
      <c r="G10" s="3"/>
      <c r="H10" s="3">
        <f t="shared" si="0"/>
        <v>0</v>
      </c>
      <c r="I10" s="3"/>
    </row>
    <row r="11" spans="1:9" ht="32.450000000000003" customHeight="1">
      <c r="A11" s="93"/>
      <c r="B11" s="37" t="s">
        <v>103</v>
      </c>
      <c r="C11" s="5" t="s">
        <v>108</v>
      </c>
      <c r="D11" s="3" t="s">
        <v>102</v>
      </c>
      <c r="E11" s="3">
        <v>4</v>
      </c>
      <c r="F11" s="3">
        <v>1</v>
      </c>
      <c r="G11" s="3"/>
      <c r="H11" s="3">
        <f t="shared" si="0"/>
        <v>0</v>
      </c>
      <c r="I11" s="3"/>
    </row>
    <row r="12" spans="1:9" ht="32.450000000000003" customHeight="1">
      <c r="A12" s="40" t="s">
        <v>113</v>
      </c>
      <c r="B12" s="37" t="s">
        <v>103</v>
      </c>
      <c r="C12" s="14" t="s">
        <v>114</v>
      </c>
      <c r="D12" s="3" t="s">
        <v>102</v>
      </c>
      <c r="E12" s="3">
        <v>4</v>
      </c>
      <c r="F12" s="3">
        <v>1</v>
      </c>
      <c r="G12" s="3"/>
      <c r="H12" s="3">
        <f t="shared" si="0"/>
        <v>0</v>
      </c>
      <c r="I12" s="3"/>
    </row>
    <row r="13" spans="1:9" ht="32.450000000000003" customHeight="1">
      <c r="A13" s="40" t="s">
        <v>112</v>
      </c>
      <c r="B13" s="37" t="s">
        <v>115</v>
      </c>
      <c r="C13" s="14" t="s">
        <v>116</v>
      </c>
      <c r="D13" s="3" t="s">
        <v>101</v>
      </c>
      <c r="E13" s="3">
        <v>4</v>
      </c>
      <c r="F13" s="3">
        <v>4</v>
      </c>
      <c r="G13" s="3"/>
      <c r="H13" s="3">
        <f t="shared" si="0"/>
        <v>0</v>
      </c>
      <c r="I13" s="3"/>
    </row>
    <row r="14" spans="1:9" ht="32.450000000000003" customHeight="1">
      <c r="A14" s="41"/>
    </row>
  </sheetData>
  <mergeCells count="2">
    <mergeCell ref="A3:A6"/>
    <mergeCell ref="A9:A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09BFD-7479-4EFE-B00C-70AC01CB7B47}">
  <dimension ref="A1"/>
  <sheetViews>
    <sheetView workbookViewId="0"/>
  </sheetViews>
  <sheetFormatPr defaultColWidth="11.425781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C42CA-A2C1-400B-93B4-EEB17471F51E}">
  <dimension ref="A1"/>
  <sheetViews>
    <sheetView workbookViewId="0"/>
  </sheetViews>
  <sheetFormatPr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Etape de lelvage </vt:lpstr>
      <vt:lpstr>Aspect envir</vt:lpstr>
      <vt:lpstr>COTATION</vt:lpstr>
      <vt:lpstr>Analyse </vt:lpstr>
      <vt:lpstr>Resultat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Ibrahim Kassimi</cp:lastModifiedBy>
  <dcterms:created xsi:type="dcterms:W3CDTF">2025-05-25T12:50:23Z</dcterms:created>
  <dcterms:modified xsi:type="dcterms:W3CDTF">2025-12-06T22:02:22Z</dcterms:modified>
</cp:coreProperties>
</file>